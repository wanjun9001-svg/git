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汽车吊支腿反力计算表格修正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<sst xmlns="http://schemas.openxmlformats.org/spreadsheetml/2006/main" count="89" uniqueCount="74">
  <si>
    <t>名称</t>
  </si>
  <si>
    <t>符号</t>
  </si>
  <si>
    <t>公式</t>
  </si>
  <si>
    <t>数值</t>
  </si>
  <si>
    <t>单位</t>
  </si>
  <si>
    <t>汽车吊</t>
  </si>
  <si>
    <t>型号</t>
  </si>
  <si>
    <t>t</t>
  </si>
  <si>
    <t>汽车吊吊臂自重</t>
  </si>
  <si>
    <t>G3</t>
  </si>
  <si>
    <t>汽车吊吊臂重心至回转重心距离</t>
  </si>
  <si>
    <t>E</t>
  </si>
  <si>
    <t>m</t>
  </si>
  <si>
    <t>汽车吊自重(扣除吊臂重量）</t>
  </si>
  <si>
    <t>G0</t>
  </si>
  <si>
    <t>起吊构件最大重量</t>
  </si>
  <si>
    <t>G1</t>
  </si>
  <si>
    <t>配重</t>
  </si>
  <si>
    <t>G2</t>
  </si>
  <si>
    <t>起吊作业半径</t>
  </si>
  <si>
    <t>L1</t>
  </si>
  <si>
    <t>支腿纵向距离</t>
  </si>
  <si>
    <t>A</t>
  </si>
  <si>
    <t>支腿横向距离</t>
  </si>
  <si>
    <t>B</t>
  </si>
  <si>
    <t>配重至回转中心距离</t>
  </si>
  <si>
    <t>C</t>
  </si>
  <si>
    <t>重力加速度</t>
  </si>
  <si>
    <t>g</t>
  </si>
  <si>
    <r>
      <rPr>
        <sz val="11"/>
        <color theme="1"/>
        <rFont val="宋体"/>
        <charset val="134"/>
      </rPr>
      <t>m/s</t>
    </r>
    <r>
      <rPr>
        <vertAlign val="superscript"/>
        <sz val="11"/>
        <color theme="1"/>
        <rFont val="宋体"/>
        <charset val="134"/>
      </rPr>
      <t>2</t>
    </r>
  </si>
  <si>
    <t>总竖向力</t>
  </si>
  <si>
    <t>F</t>
  </si>
  <si>
    <t>F=G0+G1+G2+G3</t>
  </si>
  <si>
    <t>KN</t>
  </si>
  <si>
    <t>总弯矩</t>
  </si>
  <si>
    <t>M</t>
  </si>
  <si>
    <t>M=G1*L1*g-G2*C*g+G3*E*g</t>
  </si>
  <si>
    <r>
      <rPr>
        <sz val="11"/>
        <color theme="1"/>
        <rFont val="宋体"/>
        <charset val="134"/>
      </rPr>
      <t>KN</t>
    </r>
    <r>
      <rPr>
        <sz val="11"/>
        <color theme="1"/>
        <rFont val="Arial Unicode MS"/>
        <charset val="134"/>
      </rPr>
      <t>･</t>
    </r>
    <r>
      <rPr>
        <sz val="11"/>
        <color theme="1"/>
        <rFont val="宋体"/>
        <charset val="134"/>
      </rPr>
      <t>m</t>
    </r>
  </si>
  <si>
    <t>回转中心至后支腿距离</t>
  </si>
  <si>
    <t>D</t>
  </si>
  <si>
    <t>水平夹角</t>
  </si>
  <si>
    <t>β</t>
  </si>
  <si>
    <t>°</t>
  </si>
  <si>
    <t>水平夹角余弦值</t>
  </si>
  <si>
    <t>cosβ</t>
  </si>
  <si>
    <t>水平夹角正弦值</t>
  </si>
  <si>
    <t>sinβ</t>
  </si>
  <si>
    <t>X轴弯矩</t>
  </si>
  <si>
    <t>Mx</t>
  </si>
  <si>
    <r>
      <rPr>
        <sz val="11"/>
        <color theme="1"/>
        <rFont val="宋体"/>
        <charset val="134"/>
      </rPr>
      <t>MX=M*COS</t>
    </r>
    <r>
      <rPr>
        <sz val="11"/>
        <color theme="1"/>
        <rFont val="Arial Unicode MS"/>
        <charset val="134"/>
      </rPr>
      <t>β</t>
    </r>
  </si>
  <si>
    <t>Y轴弯矩</t>
  </si>
  <si>
    <t>My</t>
  </si>
  <si>
    <r>
      <rPr>
        <sz val="11"/>
        <color theme="1"/>
        <rFont val="宋体"/>
        <charset val="134"/>
      </rPr>
      <t>MY=M*SIN</t>
    </r>
    <r>
      <rPr>
        <sz val="11"/>
        <color theme="1"/>
        <rFont val="Arial Unicode MS"/>
        <charset val="134"/>
      </rPr>
      <t>β</t>
    </r>
  </si>
  <si>
    <t>支腿1反力</t>
  </si>
  <si>
    <r>
      <rPr>
        <sz val="11"/>
        <color theme="1"/>
        <rFont val="宋体"/>
        <charset val="134"/>
      </rPr>
      <t>N</t>
    </r>
    <r>
      <rPr>
        <vertAlign val="subscript"/>
        <sz val="11"/>
        <color theme="1"/>
        <rFont val="宋体"/>
        <charset val="134"/>
      </rPr>
      <t>1</t>
    </r>
  </si>
  <si>
    <t>N1=DF/2/A-Mx/2/A +My/2/B</t>
  </si>
  <si>
    <t>支腿2反力</t>
  </si>
  <si>
    <r>
      <rPr>
        <sz val="11"/>
        <color theme="1"/>
        <rFont val="宋体"/>
        <charset val="134"/>
      </rPr>
      <t>N</t>
    </r>
    <r>
      <rPr>
        <vertAlign val="subscript"/>
        <sz val="11"/>
        <color theme="1"/>
        <rFont val="宋体"/>
        <charset val="134"/>
      </rPr>
      <t>2</t>
    </r>
  </si>
  <si>
    <t>N2=(A-D)F/2/A+Mx/2/A +My/2/B</t>
  </si>
  <si>
    <t>支腿3反力</t>
  </si>
  <si>
    <r>
      <rPr>
        <sz val="11"/>
        <color theme="1"/>
        <rFont val="宋体"/>
        <charset val="134"/>
      </rPr>
      <t>N</t>
    </r>
    <r>
      <rPr>
        <vertAlign val="subscript"/>
        <sz val="11"/>
        <color theme="1"/>
        <rFont val="宋体"/>
        <charset val="134"/>
      </rPr>
      <t>3</t>
    </r>
  </si>
  <si>
    <t>N3=DF/2/A-Mx/2/A -My/2/B</t>
  </si>
  <si>
    <t>支腿4反力</t>
  </si>
  <si>
    <r>
      <rPr>
        <sz val="11"/>
        <color theme="1"/>
        <rFont val="宋体"/>
        <charset val="134"/>
      </rPr>
      <t>N</t>
    </r>
    <r>
      <rPr>
        <vertAlign val="subscript"/>
        <sz val="11"/>
        <color theme="1"/>
        <rFont val="宋体"/>
        <charset val="134"/>
      </rPr>
      <t>4</t>
    </r>
  </si>
  <si>
    <t>N4=(A-D)F/2/A+Mx/2/A -My/2/B</t>
  </si>
  <si>
    <t>路基箱面积</t>
  </si>
  <si>
    <t>S</t>
  </si>
  <si>
    <t>S=a*b</t>
  </si>
  <si>
    <r>
      <rPr>
        <sz val="11"/>
        <color theme="1"/>
        <rFont val="宋体"/>
        <charset val="134"/>
      </rPr>
      <t>m</t>
    </r>
    <r>
      <rPr>
        <vertAlign val="superscript"/>
        <sz val="11"/>
        <color theme="1"/>
        <rFont val="宋体"/>
        <charset val="134"/>
      </rPr>
      <t>2</t>
    </r>
  </si>
  <si>
    <t>最大地面压强</t>
  </si>
  <si>
    <t>P</t>
  </si>
  <si>
    <t>P=N/S</t>
  </si>
  <si>
    <t>Kpa</t>
  </si>
  <si>
    <t>最大支腿反力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</si>
</sst>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6">
    <font>
      <sz val="11"/>
      <color theme="1"/>
      <name val="等线"/>
      <charset val="134"/>
      <scheme val="minor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sz val="12"/>
      <color rgb="FF000000"/>
      <name val="宋体"/>
      <charset val="134"/>
    </font>
    <font>
      <sz val="11"/>
      <color theme="1"/>
      <name val="Arial Unicode M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color theme="1"/>
      <name val="宋体"/>
      <charset val="134"/>
    </font>
    <font>
      <vertAlign val="superscript"/>
      <sz val="11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  <protection locked="0"/>
    </xf>
    <xf numFmtId="176" fontId="2" fillId="3" borderId="1" xfId="0" applyNumberFormat="1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77" fontId="0" fillId="8" borderId="1" xfId="0" applyNumberFormat="1" applyFill="1" applyBorder="1" applyAlignment="1">
      <alignment horizontal="center" vertical="center"/>
    </xf>
    <xf numFmtId="177" fontId="2" fillId="8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77" fontId="2" fillId="9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523875</xdr:colOff>
      <xdr:row>7</xdr:row>
      <xdr:rowOff>209550</xdr:rowOff>
    </xdr:from>
    <xdr:to>
      <xdr:col>12</xdr:col>
      <xdr:colOff>638175</xdr:colOff>
      <xdr:row>21</xdr:row>
      <xdr:rowOff>186690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772525" y="2129790"/>
          <a:ext cx="3543300" cy="35509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G28"/>
  <sheetViews>
    <sheetView tabSelected="1" topLeftCell="A3" workbookViewId="0">
      <selection activeCell="B14" sqref="B14"/>
    </sheetView>
  </sheetViews>
  <sheetFormatPr defaultColWidth="9" defaultRowHeight="13.5" outlineLevelCol="6"/>
  <cols>
    <col min="1" max="2" width="9" style="2"/>
    <col min="3" max="3" width="31" style="2" customWidth="1"/>
    <col min="4" max="4" width="7.875" style="2" customWidth="1"/>
    <col min="5" max="5" width="30.125" style="2" customWidth="1"/>
    <col min="6" max="6" width="12.25" style="2" customWidth="1"/>
    <col min="7" max="16384" width="9" style="2"/>
  </cols>
  <sheetData>
    <row r="2" ht="26.25" customHeight="1" spans="3:7"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</row>
    <row r="3" ht="22.5" customHeight="1" spans="3:7">
      <c r="C3" s="4" t="s">
        <v>5</v>
      </c>
      <c r="D3" s="4"/>
      <c r="E3" s="4" t="s">
        <v>6</v>
      </c>
      <c r="F3" s="5">
        <v>50</v>
      </c>
      <c r="G3" s="4" t="s">
        <v>7</v>
      </c>
    </row>
    <row r="4" ht="26.25" customHeight="1" spans="3:7">
      <c r="C4" s="6" t="s">
        <v>8</v>
      </c>
      <c r="D4" s="7" t="s">
        <v>9</v>
      </c>
      <c r="E4" s="8"/>
      <c r="F4" s="4">
        <v>10</v>
      </c>
      <c r="G4" s="9" t="s">
        <v>7</v>
      </c>
    </row>
    <row r="5" s="1" customFormat="1" ht="22.5" customHeight="1" spans="3:7">
      <c r="C5" s="6" t="s">
        <v>10</v>
      </c>
      <c r="D5" s="7" t="s">
        <v>11</v>
      </c>
      <c r="E5" s="8"/>
      <c r="F5" s="4">
        <v>4</v>
      </c>
      <c r="G5" s="9" t="s">
        <v>12</v>
      </c>
    </row>
    <row r="6" ht="20.1" customHeight="1" spans="3:7">
      <c r="C6" s="6" t="s">
        <v>13</v>
      </c>
      <c r="D6" s="7" t="s">
        <v>14</v>
      </c>
      <c r="E6" s="8"/>
      <c r="F6" s="4">
        <v>31</v>
      </c>
      <c r="G6" s="9" t="s">
        <v>7</v>
      </c>
    </row>
    <row r="7" ht="20.1" customHeight="1" spans="3:7">
      <c r="C7" s="6" t="s">
        <v>15</v>
      </c>
      <c r="D7" s="7" t="s">
        <v>16</v>
      </c>
      <c r="E7" s="8"/>
      <c r="F7" s="4">
        <v>6.02</v>
      </c>
      <c r="G7" s="9" t="s">
        <v>7</v>
      </c>
    </row>
    <row r="8" ht="20.1" customHeight="1" spans="3:7">
      <c r="C8" s="10" t="s">
        <v>17</v>
      </c>
      <c r="D8" s="7" t="s">
        <v>18</v>
      </c>
      <c r="E8" s="8"/>
      <c r="F8" s="4">
        <v>8</v>
      </c>
      <c r="G8" s="9" t="s">
        <v>7</v>
      </c>
    </row>
    <row r="9" ht="20.1" customHeight="1" spans="3:7">
      <c r="C9" s="10" t="s">
        <v>19</v>
      </c>
      <c r="D9" s="7" t="s">
        <v>20</v>
      </c>
      <c r="E9" s="8"/>
      <c r="F9" s="4">
        <v>10</v>
      </c>
      <c r="G9" s="9" t="s">
        <v>12</v>
      </c>
    </row>
    <row r="10" ht="20.1" customHeight="1" spans="3:7">
      <c r="C10" s="10" t="s">
        <v>21</v>
      </c>
      <c r="D10" s="7" t="s">
        <v>22</v>
      </c>
      <c r="E10" s="8"/>
      <c r="F10" s="4">
        <v>5.92</v>
      </c>
      <c r="G10" s="9" t="s">
        <v>12</v>
      </c>
    </row>
    <row r="11" ht="20.1" customHeight="1" spans="3:7">
      <c r="C11" s="10" t="s">
        <v>23</v>
      </c>
      <c r="D11" s="7" t="s">
        <v>24</v>
      </c>
      <c r="E11" s="8"/>
      <c r="F11" s="4">
        <v>6.9</v>
      </c>
      <c r="G11" s="9" t="s">
        <v>12</v>
      </c>
    </row>
    <row r="12" ht="20.1" customHeight="1" spans="3:7">
      <c r="C12" s="10" t="s">
        <v>25</v>
      </c>
      <c r="D12" s="7" t="s">
        <v>26</v>
      </c>
      <c r="E12" s="8"/>
      <c r="F12" s="4">
        <v>0</v>
      </c>
      <c r="G12" s="9" t="s">
        <v>12</v>
      </c>
    </row>
    <row r="13" ht="20.1" customHeight="1" spans="3:7">
      <c r="C13" s="10" t="s">
        <v>27</v>
      </c>
      <c r="D13" s="7" t="s">
        <v>28</v>
      </c>
      <c r="E13" s="8"/>
      <c r="F13" s="4">
        <v>9.8</v>
      </c>
      <c r="G13" s="9" t="s">
        <v>29</v>
      </c>
    </row>
    <row r="14" ht="20.1" customHeight="1" spans="3:7">
      <c r="C14" s="6" t="s">
        <v>30</v>
      </c>
      <c r="D14" s="7" t="s">
        <v>31</v>
      </c>
      <c r="E14" s="8" t="s">
        <v>32</v>
      </c>
      <c r="F14" s="11">
        <f>(F6+F7+F8+F4)*F13</f>
        <v>539.196</v>
      </c>
      <c r="G14" s="9" t="s">
        <v>33</v>
      </c>
    </row>
    <row r="15" ht="20.1" customHeight="1" spans="3:7">
      <c r="C15" s="6" t="s">
        <v>34</v>
      </c>
      <c r="D15" s="7" t="s">
        <v>35</v>
      </c>
      <c r="E15" s="8" t="s">
        <v>36</v>
      </c>
      <c r="F15" s="11">
        <f>F9*F7*F13-F8*F13*F12+F4*F5*F13</f>
        <v>981.96</v>
      </c>
      <c r="G15" s="9" t="s">
        <v>37</v>
      </c>
    </row>
    <row r="16" ht="20.1" customHeight="1" spans="3:7">
      <c r="C16" s="6" t="s">
        <v>38</v>
      </c>
      <c r="D16" s="7" t="s">
        <v>39</v>
      </c>
      <c r="E16" s="8"/>
      <c r="F16" s="4">
        <v>2.9</v>
      </c>
      <c r="G16" s="9" t="s">
        <v>12</v>
      </c>
    </row>
    <row r="17" ht="20.1" customHeight="1" spans="3:7">
      <c r="C17" s="6" t="s">
        <v>40</v>
      </c>
      <c r="D17" s="12" t="s">
        <v>41</v>
      </c>
      <c r="E17" s="13"/>
      <c r="F17" s="14">
        <f>DEGREES(ATAN(F11/2/F16))</f>
        <v>49.9502722342917</v>
      </c>
      <c r="G17" s="9" t="s">
        <v>42</v>
      </c>
    </row>
    <row r="18" ht="20.1" customHeight="1" spans="3:7">
      <c r="C18" s="6" t="s">
        <v>43</v>
      </c>
      <c r="D18" s="12" t="s">
        <v>44</v>
      </c>
      <c r="E18" s="13"/>
      <c r="F18" s="14">
        <f>COS(F17*PI()/180)</f>
        <v>0.643452227621266</v>
      </c>
      <c r="G18" s="9"/>
    </row>
    <row r="19" ht="20.1" customHeight="1" spans="3:7">
      <c r="C19" s="6" t="s">
        <v>45</v>
      </c>
      <c r="D19" s="12" t="s">
        <v>46</v>
      </c>
      <c r="E19" s="13"/>
      <c r="F19" s="14">
        <f>SIN(F17*PI()/180)</f>
        <v>0.765486270790816</v>
      </c>
      <c r="G19" s="9"/>
    </row>
    <row r="20" ht="20.1" customHeight="1" spans="3:7">
      <c r="C20" s="6" t="s">
        <v>47</v>
      </c>
      <c r="D20" s="7" t="s">
        <v>48</v>
      </c>
      <c r="E20" s="8" t="s">
        <v>49</v>
      </c>
      <c r="F20" s="15">
        <f>F15*F18</f>
        <v>631.844349434978</v>
      </c>
      <c r="G20" s="9" t="s">
        <v>37</v>
      </c>
    </row>
    <row r="21" ht="20.1" customHeight="1" spans="3:7">
      <c r="C21" s="6" t="s">
        <v>50</v>
      </c>
      <c r="D21" s="7" t="s">
        <v>51</v>
      </c>
      <c r="E21" s="8" t="s">
        <v>52</v>
      </c>
      <c r="F21" s="15">
        <f>F15*F19</f>
        <v>751.67689846575</v>
      </c>
      <c r="G21" s="9" t="s">
        <v>37</v>
      </c>
    </row>
    <row r="22" ht="20.1" customHeight="1" spans="3:7">
      <c r="C22" s="6" t="s">
        <v>53</v>
      </c>
      <c r="D22" s="7" t="s">
        <v>54</v>
      </c>
      <c r="E22" s="16" t="s">
        <v>55</v>
      </c>
      <c r="F22" s="15">
        <f>F16*F14/2/F10-F20/2/F10+F21/2/F11</f>
        <v>133.170696090578</v>
      </c>
      <c r="G22" s="9" t="s">
        <v>33</v>
      </c>
    </row>
    <row r="23" ht="20.1" customHeight="1" spans="3:7">
      <c r="C23" s="6" t="s">
        <v>56</v>
      </c>
      <c r="D23" s="7" t="s">
        <v>57</v>
      </c>
      <c r="E23" s="16" t="s">
        <v>58</v>
      </c>
      <c r="F23" s="15">
        <f>(F10-F16)*F14/2/F10+F20/2/F10+F21/2/F11</f>
        <v>245.365984846487</v>
      </c>
      <c r="G23" s="9" t="s">
        <v>33</v>
      </c>
    </row>
    <row r="24" ht="20.1" customHeight="1" spans="3:7">
      <c r="C24" s="6" t="s">
        <v>59</v>
      </c>
      <c r="D24" s="7" t="s">
        <v>60</v>
      </c>
      <c r="E24" s="16" t="s">
        <v>61</v>
      </c>
      <c r="F24" s="15">
        <f>F16*F14/2/F10-F20/2/F10-F21/2/F11</f>
        <v>24.2320151535132</v>
      </c>
      <c r="G24" s="9" t="s">
        <v>33</v>
      </c>
    </row>
    <row r="25" ht="20.1" customHeight="1" spans="3:7">
      <c r="C25" s="6" t="s">
        <v>62</v>
      </c>
      <c r="D25" s="7" t="s">
        <v>63</v>
      </c>
      <c r="E25" s="16" t="s">
        <v>64</v>
      </c>
      <c r="F25" s="15">
        <f>(F10-F16)*F14/2/F10+F20/2/F10-F21/2/F11</f>
        <v>136.427303909422</v>
      </c>
      <c r="G25" s="9" t="s">
        <v>33</v>
      </c>
    </row>
    <row r="26" ht="27" customHeight="1" spans="3:7">
      <c r="C26" s="6" t="s">
        <v>65</v>
      </c>
      <c r="D26" s="7" t="s">
        <v>66</v>
      </c>
      <c r="E26" s="16" t="s">
        <v>67</v>
      </c>
      <c r="F26" s="4">
        <v>4</v>
      </c>
      <c r="G26" s="9" t="s">
        <v>68</v>
      </c>
    </row>
    <row r="27" ht="24.75" customHeight="1" spans="3:7">
      <c r="C27" s="6" t="s">
        <v>69</v>
      </c>
      <c r="D27" s="7" t="s">
        <v>70</v>
      </c>
      <c r="E27" s="16" t="s">
        <v>71</v>
      </c>
      <c r="F27" s="15">
        <f>F28/F26</f>
        <v>61.3414962116217</v>
      </c>
      <c r="G27" s="9" t="s">
        <v>72</v>
      </c>
    </row>
    <row r="28" ht="21.75" customHeight="1" spans="3:7">
      <c r="E28" s="16" t="s">
        <v>73</v>
      </c>
      <c r="F28" s="17">
        <f>MAX(F22:F25)</f>
        <v>245.365984846487</v>
      </c>
    </row>
  </sheetData>
  <sheetProtection selectLockedCells="1"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汽车吊支腿反力计算表格修正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朱万君</cp:lastModifiedBy>
  <dcterms:created xsi:type="dcterms:W3CDTF">2015-06-05T18:17:00Z</dcterms:created>
  <dcterms:modified xsi:type="dcterms:W3CDTF">2026-07-08T01:34:33Z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ABAFFB1EA0B04A54A5AA06BC9101B5A5_12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